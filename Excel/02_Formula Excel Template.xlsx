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579C15B4-27E3-4360-A970-BFF86CCB7C7A}" xr6:coauthVersionLast="47" xr6:coauthVersionMax="47" xr10:uidLastSave="{00000000-0000-0000-0000-000000000000}"/>
  <bookViews>
    <workbookView xWindow="-108" yWindow="-108" windowWidth="23256" windowHeight="12456" firstSheet="4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3" l="1"/>
  <c r="J2" i="13"/>
  <c r="L2" i="5"/>
  <c r="K2" i="5"/>
  <c r="J2" i="5"/>
  <c r="L2" i="12"/>
  <c r="K2" i="12"/>
  <c r="J2" i="12"/>
  <c r="L2" i="7" a="1"/>
  <c r="L2" i="7" s="1"/>
  <c r="K2" i="7" a="1"/>
  <c r="K2" i="7" s="1"/>
  <c r="J2" i="7" a="1"/>
  <c r="J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<sst xmlns="http://schemas.openxmlformats.org/spreadsheetml/2006/main" count="583" uniqueCount="88">
  <si>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</si>
  <si>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</si>
  <si>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</si>
  <si>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</si>
  <si>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</si>
  <si>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</si>
  <si>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</si>
  <si>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</si>
  <si>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</si>
  <si>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</si>
  <si>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</si>
  <si>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</si>
  <si>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</si>
  <si>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</si>
  <si>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</si>
  <si>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</si>
  <si>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</si>
  <si>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</si>
  <si>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</si>
  <si>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</si>
  <si>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</si>
  <si>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</si>
  <si>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</si>
  <si>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</si>
  <si>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</si>
  <si>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</si>
  <si>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</si>
  <si>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</si>
  <si>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</si>
  <si>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</si>
  <si>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</si>
  <si>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</si>
  <si>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</si>
  <si>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</si>
  <si>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</si>
  <si>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</si>
  <si>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</si>
  <si>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</si>
  <si>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</si>
  <si>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</si>
  <si>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</si>
  <si>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</si>
  <si>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</si>
  <si>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</si>
  <si>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</si>
  <si>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</si>
  <si>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</si>
  <si>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</si>
  <si>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</si>
  <si>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</si>
  <si>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</si>
  <si>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</si>
  <si>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</si>
  <si>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</si>
  <si>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</si>
  <si>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</si>
  <si>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</si>
  <si>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</si>
  <si>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</si>
  <si>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</si>
  <si>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</si>
  <si>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</si>
  <si>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</si>
  <si>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</si>
  <si>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</si>
  <si>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</si>
  <si>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</si>
  <si>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</si>
  <si>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</si>
  <si>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</si>
  <si>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</si>
  <si>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2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</si>
  <si>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</si>
  <si>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</si>
  <si>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</si>
  <si>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</si>
  <si>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</si>
  <si>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</si>
  <si>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</si>
  <si>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</si>
  <si>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</si>
  <si>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</si>
  <si>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</si>
  <si>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</si>
  <si>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</si>
  <si>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</si>
  <si>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with No instance</t>
  </si>
  <si>
    <t>with 1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</si>
</sst>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78</v>
      </c>
      <c r="K1" t="s">
        <v>79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L6" sqref="L6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Immediately",F2:F10="Regional Manager","Increase Salary")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Increase Salary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3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4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7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8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7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40.66406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84</v>
      </c>
      <c r="L1" t="s">
        <v>85</v>
      </c>
      <c r="M1" t="s">
        <v>85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RIGHT(I2:I10,4)</f>
        <v>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6" sqref="J6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0.7773437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TEXT(I2:I10,"dd/mm/yyyy")</f>
        <v>06/09/2015</v>
      </c>
      <c r="K2" s="2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10/10/2015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08/09/2017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03/12/2015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30/08/2017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11/09/2013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04/10/2013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22/04/2015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14/09/2011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M5" sqref="M5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5.2187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86</v>
      </c>
      <c r="K1" t="s">
        <v>87</v>
      </c>
      <c r="L1" t="s">
        <v>71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SUBSTITUTE(H2:H10,"/","-")</f>
        <v>11-2-2001</v>
      </c>
      <c r="K2" t="str" cm="1">
        <f t="array" ref="K2:K10">SUBSTITUTE(H2:H10,"/","-",1)</f>
        <v>11-2/2001</v>
      </c>
      <c r="L2" t="str" cm="1">
        <f t="array" ref="L2:L10">SUBSTITUTE(H2:H10,"/","-",2)</f>
        <v>11/2-2001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10-3-1999</v>
      </c>
      <c r="K3" t="str">
        <v>10-3/1999</v>
      </c>
      <c r="L3" t="str">
        <v>10/3-1999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7-4-2000</v>
      </c>
      <c r="K4" t="str">
        <v>7-4/2000</v>
      </c>
      <c r="L4" t="str">
        <v>7/4-2000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1-5-2000</v>
      </c>
      <c r="K5" t="str">
        <v>1-5/2000</v>
      </c>
      <c r="L5" t="str">
        <v>1/5-2000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5-6-2001</v>
      </c>
      <c r="K6" t="str">
        <v>5-6/2001</v>
      </c>
      <c r="L6" t="str">
        <v>5/6-2001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5-6-2001</v>
      </c>
      <c r="K7" t="str">
        <v>5-6/2001</v>
      </c>
      <c r="L7" t="str">
        <v>5/6-2001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11-8-2003</v>
      </c>
      <c r="K8" t="str">
        <v>11-8/2003</v>
      </c>
      <c r="L8" t="str">
        <v>11/8-2003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6-9-2002</v>
      </c>
      <c r="K9" t="str">
        <v>6-9/2002</v>
      </c>
      <c r="L9" t="str">
        <v>6/9-2002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8-10-2003</v>
      </c>
      <c r="K10" t="str">
        <v>8-10/2003</v>
      </c>
      <c r="L10" t="str">
        <v>8/10-2003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72</v>
      </c>
      <c r="K1" t="s">
        <v>73</v>
      </c>
      <c r="L1" t="s">
        <v>74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75</v>
      </c>
      <c r="K1" t="s">
        <v>76</v>
      </c>
      <c r="L1" t="s">
        <v>77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COUNT(A2:A10)</f>
        <v>9</v>
      </c>
      <c r="K2">
        <f>COUNTIF(A2:A10,"&gt;1005")</f>
        <v>4</v>
      </c>
      <c r="L2">
        <f>COUNTIFS(A2:A10,"&gt;1005",E2:E10,"Female")</f>
        <v>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3" sqref="K3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Rohith Reddy Shyamakuri</cp:lastModifiedBy>
  <dcterms:created xsi:type="dcterms:W3CDTF">2021-12-16T14:18:34Z</dcterms:created>
  <dcterms:modified xsi:type="dcterms:W3CDTF">2025-09-20T16:48:12Z</dcterms:modified>
</cp:coreProperties>
</file>